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基础信息" sheetId="2" state="visible" r:id="rId4"/>
    <sheet name="逐章拆解" sheetId="3" state="visible" r:id="rId5"/>
    <sheet name="结构总览" sheetId="4" state="visible" r:id="rId6"/>
    <sheet name="人物卡" sheetId="5" state="visible" r:id="rId7"/>
    <sheet name="节奏统计" sheetId="6" state="visible" r:id="rId8"/>
    <sheet name="卖点提炼" sheetId="7" state="visible" r:id="rId9"/>
  </sheets>
  <definedNames>
    <definedName function="false" hidden="true" localSheetId="2" name="_xlnm._FilterDatabase" vbProcedure="false">逐章拆解!$A$1:$L$300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Noto Sans CJK SC"/>
            <family val="2"/>
          </rPr>
          <t xml:space="preserve">示例行：展示每一列应该填写的内容和颗粒度（核心事件请控制在</t>
        </r>
        <r>
          <rPr>
            <sz val="10"/>
            <rFont val="Arial"/>
            <family val="2"/>
          </rPr>
          <t xml:space="preserve">40</t>
        </r>
        <r>
          <rPr>
            <sz val="10"/>
            <rFont val="Noto Sans CJK SC"/>
            <family val="2"/>
          </rPr>
          <t xml:space="preserve">字以内）。
正式拆解前请删除本行或直接覆盖为你的第一行真实数据。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Noto Sans CJK SC"/>
            <family val="2"/>
          </rPr>
          <t xml:space="preserve">示例行：先粗略把全书切成几个大阶段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卷（如开篇建置→发展铺垫→中期高潮→后期反转→结局），
后续可随拆解深入再细化。阶段字数会自动从“逐章拆解”表按阶段名汇总，请确保两表阶段名一致。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Noto Sans CJK SC"/>
            <family val="2"/>
          </rPr>
          <t xml:space="preserve">示例行：弧线起点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终点建议各用一句话概括该角色的“状态”变化，方便和主角成长线对照。</t>
        </r>
      </text>
    </comment>
  </commentList>
</comments>
</file>

<file path=xl/sharedStrings.xml><?xml version="1.0" encoding="utf-8"?>
<sst xmlns="http://schemas.openxmlformats.org/spreadsheetml/2006/main" count="160" uniqueCount="146">
  <si>
    <r>
      <rPr>
        <b val="true"/>
        <sz val="14"/>
        <color rgb="FF44546A"/>
        <rFont val="Noto Sans CJK SC"/>
        <family val="2"/>
      </rPr>
      <t xml:space="preserve">网文拆文工作表 </t>
    </r>
    <r>
      <rPr>
        <b val="true"/>
        <sz val="14"/>
        <color rgb="FF44546A"/>
        <rFont val="Arial"/>
        <family val="0"/>
        <charset val="1"/>
      </rPr>
      <t xml:space="preserve">· </t>
    </r>
    <r>
      <rPr>
        <b val="true"/>
        <sz val="14"/>
        <color rgb="FF44546A"/>
        <rFont val="Noto Sans CJK SC"/>
        <family val="2"/>
      </rPr>
      <t xml:space="preserve">使用说明</t>
    </r>
  </si>
  <si>
    <r>
      <rPr>
        <sz val="10"/>
        <rFont val="Noto Sans CJK SC"/>
        <family val="2"/>
      </rPr>
      <t xml:space="preserve">配套文件：请与《拆文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提示词模板</t>
    </r>
    <r>
      <rPr>
        <sz val="10"/>
        <rFont val="Arial"/>
        <family val="0"/>
        <charset val="1"/>
      </rPr>
      <t xml:space="preserve">.md</t>
    </r>
    <r>
      <rPr>
        <sz val="10"/>
        <rFont val="Noto Sans CJK SC"/>
        <family val="2"/>
      </rPr>
      <t xml:space="preserve">》一起使用——先用其中的提示词让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输出结构化内容，再把结果整理粘贴进本表对应表格。</t>
    </r>
  </si>
  <si>
    <t xml:space="preserve">工作表说明</t>
  </si>
  <si>
    <t xml:space="preserve">① 基础信息：记录书名、作者、类型、总量等基本信息，以及本次拆解的目的。</t>
  </si>
  <si>
    <r>
      <rPr>
        <sz val="10"/>
        <rFont val="Noto Sans CJK SC"/>
        <family val="2"/>
      </rPr>
      <t xml:space="preserve">② 逐章拆解：核心表格，逐章记录事件、伏笔、爽点类型、情绪、结尾钩子。每次把</t>
    </r>
    <r>
      <rPr>
        <sz val="10"/>
        <rFont val="Arial"/>
        <family val="0"/>
        <charset val="1"/>
      </rPr>
      <t xml:space="preserve">5~10</t>
    </r>
    <r>
      <rPr>
        <sz val="10"/>
        <rFont val="Noto Sans CJK SC"/>
        <family val="2"/>
      </rPr>
      <t xml:space="preserve">章内容喂给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，用提示词模板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生成后粘贴到这里。</t>
    </r>
  </si>
  <si>
    <r>
      <rPr>
        <sz val="10"/>
        <rFont val="Noto Sans CJK SC"/>
        <family val="2"/>
      </rPr>
      <t xml:space="preserve">③ 结构总览：把全书划分为几个阶段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卷，标注每阶段的核心冲突与关键转折。阶段字数会根据②自动汇总，无需手填。</t>
    </r>
  </si>
  <si>
    <t xml:space="preserve">④ 人物卡：记录主要角色的身份、目标、弧线变化和与主角的关系。</t>
  </si>
  <si>
    <t xml:space="preserve">⑤ 节奏统计：全部为公式，自动读取②的数据，统计爽点密度、情绪分布、伏笔回收率等，不需要手动填写。</t>
  </si>
  <si>
    <t xml:space="preserve">⑥ 卖点提炼：拆解完成后，基于前面的表格提炼一句话简介、核心卖点、对标作品等，用于投稿或推广文案。</t>
  </si>
  <si>
    <t xml:space="preserve">使用流程建议</t>
  </si>
  <si>
    <r>
      <rPr>
        <sz val="10"/>
        <rFont val="Noto Sans CJK SC"/>
        <family val="2"/>
      </rPr>
      <t xml:space="preserve">第一步：在①填写书籍基本信息，明确本次拆解目的（学写作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改编短剧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提炼简介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建立素材库）。</t>
    </r>
  </si>
  <si>
    <t xml:space="preserve">第二步：通读全书或目录，先在③大致划分阶段和转折点（后续可再调整）。</t>
  </si>
  <si>
    <r>
      <rPr>
        <sz val="10"/>
        <rFont val="Noto Sans CJK SC"/>
        <family val="2"/>
      </rPr>
      <t xml:space="preserve">第三步：分批把章节内容交给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，用提示词模板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逐章拆解，结果粘贴进②。中长篇建议每次</t>
    </r>
    <r>
      <rPr>
        <sz val="10"/>
        <rFont val="Arial"/>
        <family val="0"/>
        <charset val="1"/>
      </rPr>
      <t xml:space="preserve">5~10</t>
    </r>
    <r>
      <rPr>
        <sz val="10"/>
        <rFont val="Noto Sans CJK SC"/>
        <family val="2"/>
      </rPr>
      <t xml:space="preserve">章，避免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遗漏或记混设定。</t>
    </r>
  </si>
  <si>
    <t xml:space="preserve">第四步：②积累到一定量后，回到③校准阶段划分，在④补充人物卡。</t>
  </si>
  <si>
    <t xml:space="preserve">第五步：查看⑤的自动统计，检查爽点密度、情绪曲线是否符合预期，判断拆解样本是否已经够用。</t>
  </si>
  <si>
    <t xml:space="preserve">第六步：在⑥提炼简介和卖点，或导出②③作为改编（如短剧）的分集依据。</t>
  </si>
  <si>
    <t xml:space="preserve">填表约定</t>
  </si>
  <si>
    <t xml:space="preserve">【黄色底纹行】为示例行，展示填写格式，正式使用前请替换或删除，不要保留在统计范围内。</t>
  </si>
  <si>
    <r>
      <rPr>
        <sz val="10"/>
        <rFont val="Noto Sans CJK SC"/>
        <family val="2"/>
      </rPr>
      <t xml:space="preserve">【下拉列表列】爽点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反转类型、情绪标签、结尾钩子等列请从下拉列表中选择，统计公式依赖固定选项才能正确计数。</t>
    </r>
  </si>
  <si>
    <r>
      <rPr>
        <sz val="10"/>
        <rFont val="Noto Sans CJK SC"/>
        <family val="2"/>
      </rPr>
      <t xml:space="preserve">【留空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填“无”】伏笔埋设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回收等自由文本列，如某章没有内容请留空，不要填“无”，否则会被计入“已填写”统计。</t>
    </r>
  </si>
  <si>
    <r>
      <rPr>
        <sz val="10"/>
        <rFont val="Noto Sans CJK SC"/>
        <family val="2"/>
      </rPr>
      <t xml:space="preserve">【重要提醒】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拆解只是辅助草稿，人物设定、事件细节请务必人工核对；若用于二次创作或商用改编，情节和人设需重新原创化，避免抄袭风险。</t>
    </r>
  </si>
  <si>
    <t xml:space="preserve">基础信息</t>
  </si>
  <si>
    <t xml:space="preserve">书名</t>
  </si>
  <si>
    <t xml:space="preserve">示例：诡秘之主</t>
  </si>
  <si>
    <t xml:space="preserve">总章节数</t>
  </si>
  <si>
    <r>
      <rPr>
        <i val="true"/>
        <sz val="10"/>
        <color rgb="FF808080"/>
        <rFont val="Noto Sans CJK SC"/>
        <family val="2"/>
      </rPr>
      <t xml:space="preserve">示例：</t>
    </r>
    <r>
      <rPr>
        <i val="true"/>
        <sz val="10"/>
        <color rgb="FF808080"/>
        <rFont val="Arial"/>
        <family val="0"/>
        <charset val="1"/>
      </rPr>
      <t xml:space="preserve">1400</t>
    </r>
  </si>
  <si>
    <t xml:space="preserve">作者</t>
  </si>
  <si>
    <t xml:space="preserve">示例：爱潜水的乌贼</t>
  </si>
  <si>
    <t xml:space="preserve">拆解目的</t>
  </si>
  <si>
    <r>
      <rPr>
        <i val="true"/>
        <sz val="10"/>
        <color rgb="FF808080"/>
        <rFont val="Noto Sans CJK SC"/>
        <family val="2"/>
      </rPr>
      <t xml:space="preserve">学写作技法 </t>
    </r>
    <r>
      <rPr>
        <i val="true"/>
        <sz val="10"/>
        <color rgb="FF808080"/>
        <rFont val="Arial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改编短剧 </t>
    </r>
    <r>
      <rPr>
        <i val="true"/>
        <sz val="10"/>
        <color rgb="FF808080"/>
        <rFont val="Arial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提炼简介 </t>
    </r>
    <r>
      <rPr>
        <i val="true"/>
        <sz val="10"/>
        <color rgb="FF808080"/>
        <rFont val="Arial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建立素材库</t>
    </r>
  </si>
  <si>
    <r>
      <rPr>
        <b val="true"/>
        <sz val="10"/>
        <rFont val="Noto Sans CJK SC"/>
        <family val="2"/>
      </rPr>
      <t xml:space="preserve">题材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类型</t>
    </r>
  </si>
  <si>
    <r>
      <rPr>
        <i val="true"/>
        <sz val="10"/>
        <color rgb="FF808080"/>
        <rFont val="Noto Sans CJK SC"/>
        <family val="2"/>
      </rPr>
      <t xml:space="preserve">示例：西方奇幻 </t>
    </r>
    <r>
      <rPr>
        <i val="true"/>
        <sz val="10"/>
        <color rgb="FF808080"/>
        <rFont val="Arial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都市脑洞 </t>
    </r>
    <r>
      <rPr>
        <i val="true"/>
        <sz val="10"/>
        <color rgb="FF808080"/>
        <rFont val="Arial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甜宠言情</t>
    </r>
  </si>
  <si>
    <t xml:space="preserve">拆解范围</t>
  </si>
  <si>
    <r>
      <rPr>
        <i val="true"/>
        <sz val="10"/>
        <color rgb="FF808080"/>
        <rFont val="Noto Sans CJK SC"/>
        <family val="2"/>
      </rPr>
      <t xml:space="preserve">示例：全书 </t>
    </r>
    <r>
      <rPr>
        <i val="true"/>
        <sz val="10"/>
        <color rgb="FF808080"/>
        <rFont val="Arial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第</t>
    </r>
    <r>
      <rPr>
        <i val="true"/>
        <sz val="10"/>
        <color rgb="FF808080"/>
        <rFont val="Arial"/>
        <family val="0"/>
        <charset val="1"/>
      </rPr>
      <t xml:space="preserve">1~200</t>
    </r>
    <r>
      <rPr>
        <i val="true"/>
        <sz val="10"/>
        <color rgb="FF808080"/>
        <rFont val="Noto Sans CJK SC"/>
        <family val="2"/>
      </rPr>
      <t xml:space="preserve">章 </t>
    </r>
    <r>
      <rPr>
        <i val="true"/>
        <sz val="10"/>
        <color rgb="FF808080"/>
        <rFont val="Arial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卷一</t>
    </r>
  </si>
  <si>
    <t xml:space="preserve">平台</t>
  </si>
  <si>
    <r>
      <rPr>
        <i val="true"/>
        <sz val="10"/>
        <color rgb="FF808080"/>
        <rFont val="Noto Sans CJK SC"/>
        <family val="2"/>
      </rPr>
      <t xml:space="preserve">示例：起点中文网 </t>
    </r>
    <r>
      <rPr>
        <i val="true"/>
        <sz val="10"/>
        <color rgb="FF808080"/>
        <rFont val="Arial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晋江文学城 </t>
    </r>
    <r>
      <rPr>
        <i val="true"/>
        <sz val="10"/>
        <color rgb="FF808080"/>
        <rFont val="Arial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番茄小说</t>
    </r>
  </si>
  <si>
    <t xml:space="preserve">拆解人</t>
  </si>
  <si>
    <t xml:space="preserve">连载状态</t>
  </si>
  <si>
    <r>
      <rPr>
        <i val="true"/>
        <sz val="10"/>
        <color rgb="FF808080"/>
        <rFont val="Noto Sans CJK SC"/>
        <family val="2"/>
      </rPr>
      <t xml:space="preserve">连载中 </t>
    </r>
    <r>
      <rPr>
        <i val="true"/>
        <sz val="10"/>
        <color rgb="FF808080"/>
        <rFont val="Arial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已完结</t>
    </r>
  </si>
  <si>
    <t xml:space="preserve">拆解日期</t>
  </si>
  <si>
    <t xml:space="preserve">总字数</t>
  </si>
  <si>
    <r>
      <rPr>
        <i val="true"/>
        <sz val="10"/>
        <color rgb="FF808080"/>
        <rFont val="Noto Sans CJK SC"/>
        <family val="2"/>
      </rPr>
      <t xml:space="preserve">示例：</t>
    </r>
    <r>
      <rPr>
        <i val="true"/>
        <sz val="10"/>
        <color rgb="FF808080"/>
        <rFont val="Arial"/>
        <family val="0"/>
        <charset val="1"/>
      </rPr>
      <t xml:space="preserve">2000000</t>
    </r>
  </si>
  <si>
    <t xml:space="preserve">备注</t>
  </si>
  <si>
    <t xml:space="preserve">橙色底纹为待填写单元格，灰色斜体文字为示例格式，填写时直接覆盖即可。</t>
  </si>
  <si>
    <t xml:space="preserve">章节号</t>
  </si>
  <si>
    <t xml:space="preserve">章节标题</t>
  </si>
  <si>
    <t xml:space="preserve">字数</t>
  </si>
  <si>
    <r>
      <rPr>
        <b val="true"/>
        <sz val="11"/>
        <color rgb="FFFFFFFF"/>
        <rFont val="Noto Sans CJK SC"/>
        <family val="2"/>
      </rPr>
      <t xml:space="preserve">所属阶段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卷</t>
    </r>
  </si>
  <si>
    <t xml:space="preserve">核心事件（一句话）</t>
  </si>
  <si>
    <t xml:space="preserve">新增角色</t>
  </si>
  <si>
    <t xml:space="preserve">伏笔埋设</t>
  </si>
  <si>
    <t xml:space="preserve">伏笔回收</t>
  </si>
  <si>
    <r>
      <rPr>
        <b val="true"/>
        <sz val="11"/>
        <color rgb="FFFFFFFF"/>
        <rFont val="Noto Sans CJK SC"/>
        <family val="2"/>
      </rPr>
      <t xml:space="preserve">爽点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反转类型</t>
    </r>
  </si>
  <si>
    <t xml:space="preserve">情绪标签</t>
  </si>
  <si>
    <t xml:space="preserve">结尾钩子</t>
  </si>
  <si>
    <t xml:space="preserve">1</t>
  </si>
  <si>
    <t xml:space="preserve">被退婚的赘婿</t>
  </si>
  <si>
    <t xml:space="preserve">开篇建置</t>
  </si>
  <si>
    <t xml:space="preserve">主角当众被未婚妻退婚，众人嘲讽，暗中觉醒神秘系统</t>
  </si>
  <si>
    <r>
      <rPr>
        <sz val="10"/>
        <rFont val="Noto Sans CJK SC"/>
        <family val="2"/>
      </rPr>
      <t xml:space="preserve">沈明（未婚妻）、系统</t>
    </r>
    <r>
      <rPr>
        <sz val="10"/>
        <rFont val="Arial"/>
        <family val="0"/>
        <charset val="1"/>
      </rPr>
      <t xml:space="preserve">AI</t>
    </r>
  </si>
  <si>
    <r>
      <rPr>
        <sz val="10"/>
        <rFont val="Noto Sans CJK SC"/>
        <family val="2"/>
      </rPr>
      <t xml:space="preserve">系统提示“宿主怒气值已达</t>
    </r>
    <r>
      <rPr>
        <sz val="10"/>
        <rFont val="Arial"/>
        <family val="0"/>
        <charset val="1"/>
      </rPr>
      <t xml:space="preserve">100%”</t>
    </r>
    <r>
      <rPr>
        <sz val="10"/>
        <rFont val="Noto Sans CJK SC"/>
        <family val="2"/>
      </rPr>
      <t xml:space="preserve">但未说明用途</t>
    </r>
  </si>
  <si>
    <t xml:space="preserve">打脸</t>
  </si>
  <si>
    <t xml:space="preserve">爽</t>
  </si>
  <si>
    <t xml:space="preserve">悬念</t>
  </si>
  <si>
    <t xml:space="preserve">示例行，请替换或删除，勿保留在正式统计范围内</t>
  </si>
  <si>
    <t xml:space="preserve">序号</t>
  </si>
  <si>
    <r>
      <rPr>
        <b val="true"/>
        <sz val="11"/>
        <color rgb="FFFFFFFF"/>
        <rFont val="Noto Sans CJK SC"/>
        <family val="2"/>
      </rPr>
      <t xml:space="preserve">阶段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卷名</t>
    </r>
  </si>
  <si>
    <t xml:space="preserve">起始章节</t>
  </si>
  <si>
    <t xml:space="preserve">结束章节</t>
  </si>
  <si>
    <t xml:space="preserve">阶段字数（自动汇总）</t>
  </si>
  <si>
    <t xml:space="preserve">阶段功能</t>
  </si>
  <si>
    <t xml:space="preserve">核心冲突</t>
  </si>
  <si>
    <t xml:space="preserve">关键转折事件</t>
  </si>
  <si>
    <t xml:space="preserve">主角被退婚，社会性死亡，急需翻身手段</t>
  </si>
  <si>
    <t xml:space="preserve">获得系统金手指，确立“扮猪吃虎”的主线目标</t>
  </si>
  <si>
    <t xml:space="preserve">角色姓名</t>
  </si>
  <si>
    <r>
      <rPr>
        <b val="true"/>
        <sz val="11"/>
        <color rgb="FFFFFFFF"/>
        <rFont val="Noto Sans CJK SC"/>
        <family val="2"/>
      </rPr>
      <t xml:space="preserve">身份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阵营</t>
    </r>
  </si>
  <si>
    <t xml:space="preserve">首次登场章节</t>
  </si>
  <si>
    <r>
      <rPr>
        <b val="true"/>
        <sz val="11"/>
        <color rgb="FFFFFFFF"/>
        <rFont val="Noto Sans CJK SC"/>
        <family val="2"/>
      </rPr>
      <t xml:space="preserve">核心目标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动机</t>
    </r>
  </si>
  <si>
    <t xml:space="preserve">弧线起点</t>
  </si>
  <si>
    <t xml:space="preserve">弧线终点</t>
  </si>
  <si>
    <t xml:space="preserve">与主角关系</t>
  </si>
  <si>
    <t xml:space="preserve">重要程度</t>
  </si>
  <si>
    <t xml:space="preserve">沈明</t>
  </si>
  <si>
    <r>
      <rPr>
        <sz val="10"/>
        <rFont val="Noto Sans CJK SC"/>
        <family val="2"/>
      </rPr>
      <t xml:space="preserve">反派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前未婚妻家族</t>
    </r>
  </si>
  <si>
    <t xml:space="preserve">维护家族颜面，打压主角以巩固自身婚约地位</t>
  </si>
  <si>
    <t xml:space="preserve">高高在上、刻薄嘲讽主角的大小姐</t>
  </si>
  <si>
    <t xml:space="preserve">众叛亲离、向主角求饶的落魄之人</t>
  </si>
  <si>
    <r>
      <rPr>
        <sz val="10"/>
        <rFont val="Noto Sans CJK SC"/>
        <family val="2"/>
      </rPr>
      <t xml:space="preserve">情敌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仇人</t>
    </r>
  </si>
  <si>
    <t xml:space="preserve">核心配角</t>
  </si>
  <si>
    <t xml:space="preserve">第一卷主要反派</t>
  </si>
  <si>
    <r>
      <rPr>
        <b val="true"/>
        <sz val="14"/>
        <color rgb="FF44546A"/>
        <rFont val="Noto Sans CJK SC"/>
        <family val="2"/>
      </rPr>
      <t xml:space="preserve">节奏统计仪表盘（自动计算，数据来源：逐章拆解表 第</t>
    </r>
    <r>
      <rPr>
        <b val="true"/>
        <sz val="14"/>
        <color rgb="FF44546A"/>
        <rFont val="Arial"/>
        <family val="0"/>
        <charset val="1"/>
      </rPr>
      <t xml:space="preserve">3~300</t>
    </r>
    <r>
      <rPr>
        <b val="true"/>
        <sz val="14"/>
        <color rgb="FF44546A"/>
        <rFont val="Noto Sans CJK SC"/>
        <family val="2"/>
      </rPr>
      <t xml:space="preserve">行）</t>
    </r>
  </si>
  <si>
    <t xml:space="preserve">基础数据</t>
  </si>
  <si>
    <t xml:space="preserve">平均单章字数</t>
  </si>
  <si>
    <r>
      <rPr>
        <b val="true"/>
        <sz val="11"/>
        <color rgb="FF1F3864"/>
        <rFont val="Noto Sans CJK SC"/>
        <family val="2"/>
      </rPr>
      <t xml:space="preserve">爽点</t>
    </r>
    <r>
      <rPr>
        <b val="true"/>
        <sz val="11"/>
        <color rgb="FF1F3864"/>
        <rFont val="Arial"/>
        <family val="0"/>
        <charset val="1"/>
      </rPr>
      <t xml:space="preserve">/</t>
    </r>
    <r>
      <rPr>
        <b val="true"/>
        <sz val="11"/>
        <color rgb="FF1F3864"/>
        <rFont val="Noto Sans CJK SC"/>
        <family val="2"/>
      </rPr>
      <t xml:space="preserve">反转类型分布</t>
    </r>
  </si>
  <si>
    <t xml:space="preserve">类型</t>
  </si>
  <si>
    <t xml:space="preserve">数量</t>
  </si>
  <si>
    <t xml:space="preserve">占总章节比例</t>
  </si>
  <si>
    <t xml:space="preserve">逆袭</t>
  </si>
  <si>
    <t xml:space="preserve">身份揭露</t>
  </si>
  <si>
    <t xml:space="preserve">危机反转</t>
  </si>
  <si>
    <t xml:space="preserve">情感高光</t>
  </si>
  <si>
    <t xml:space="preserve">能力突破</t>
  </si>
  <si>
    <t xml:space="preserve">阴谋算计</t>
  </si>
  <si>
    <t xml:space="preserve">悬念揭晓</t>
  </si>
  <si>
    <t xml:space="preserve">无</t>
  </si>
  <si>
    <t xml:space="preserve">爽点总密度（每几章一个爽点，数值越小越密集）</t>
  </si>
  <si>
    <t xml:space="preserve">情绪标签分布</t>
  </si>
  <si>
    <t xml:space="preserve">情绪</t>
  </si>
  <si>
    <t xml:space="preserve">甜</t>
  </si>
  <si>
    <t xml:space="preserve">虐</t>
  </si>
  <si>
    <t xml:space="preserve">虐后甜</t>
  </si>
  <si>
    <t xml:space="preserve">紧张</t>
  </si>
  <si>
    <t xml:space="preserve">治愈</t>
  </si>
  <si>
    <t xml:space="preserve">搞笑</t>
  </si>
  <si>
    <t xml:space="preserve">热血</t>
  </si>
  <si>
    <t xml:space="preserve">平淡</t>
  </si>
  <si>
    <t xml:space="preserve">结尾钩子类型分布</t>
  </si>
  <si>
    <t xml:space="preserve">钩子类型</t>
  </si>
  <si>
    <t xml:space="preserve">危机</t>
  </si>
  <si>
    <t xml:space="preserve">反转</t>
  </si>
  <si>
    <t xml:space="preserve">情感冲击</t>
  </si>
  <si>
    <t xml:space="preserve">信息量炸弹</t>
  </si>
  <si>
    <t xml:space="preserve">伏笔统计</t>
  </si>
  <si>
    <t xml:space="preserve">伏笔埋设标记数</t>
  </si>
  <si>
    <t xml:space="preserve">伏笔回收标记数</t>
  </si>
  <si>
    <t xml:space="preserve">伏笔回收率</t>
  </si>
  <si>
    <r>
      <rPr>
        <i val="true"/>
        <sz val="10"/>
        <color rgb="FF808080"/>
        <rFont val="Noto Sans CJK SC"/>
        <family val="2"/>
      </rPr>
      <t xml:space="preserve">提示：本表全部为公式，会随“逐章拆解”表实时更新；如需重新统计，删除逐章拆解表中的示例行（第</t>
    </r>
    <r>
      <rPr>
        <i val="true"/>
        <sz val="10"/>
        <color rgb="FF808080"/>
        <rFont val="Arial"/>
        <family val="0"/>
        <charset val="1"/>
      </rPr>
      <t xml:space="preserve">2</t>
    </r>
    <r>
      <rPr>
        <i val="true"/>
        <sz val="10"/>
        <color rgb="FF808080"/>
        <rFont val="Noto Sans CJK SC"/>
        <family val="2"/>
      </rPr>
      <t xml:space="preserve">行）即可。</t>
    </r>
  </si>
  <si>
    <t xml:space="preserve">卖点提炼工作区</t>
  </si>
  <si>
    <t xml:space="preserve">建议在完成“逐章拆解”“结构总览”后填写，可直接用于投稿简介或推广文案。</t>
  </si>
  <si>
    <t xml:space="preserve">一句话简介</t>
  </si>
  <si>
    <t xml:space="preserve">示例：被退婚的赘婿觉醒神豪系统，从被全城嘲讽到富可敌国，一路打脸装逼。</t>
  </si>
  <si>
    <t xml:space="preserve">三句话简介</t>
  </si>
  <si>
    <r>
      <rPr>
        <i val="true"/>
        <sz val="10"/>
        <color rgb="FF808080"/>
        <rFont val="Noto Sans CJK SC"/>
        <family val="2"/>
      </rPr>
      <t xml:space="preserve">示例：①主角遭遇羞辱性退婚事件，人设跌入谷底。②意外觉醒金手指，能力持续变强。③踏上复仇 </t>
    </r>
    <r>
      <rPr>
        <i val="true"/>
        <sz val="10"/>
        <color rgb="FF808080"/>
        <rFont val="Arial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逆袭之路，目标是彻底碾压曾经看轻他的所有人。</t>
    </r>
  </si>
  <si>
    <t xml:space="preserve">核心冲突关键词</t>
  </si>
  <si>
    <t xml:space="preserve">示例：阶层落差、扮猪吃虎、复仇、逆袭</t>
  </si>
  <si>
    <r>
      <rPr>
        <b val="true"/>
        <sz val="10"/>
        <rFont val="Noto Sans CJK SC"/>
        <family val="2"/>
      </rPr>
      <t xml:space="preserve">金手指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设定亮点</t>
    </r>
  </si>
  <si>
    <t xml:space="preserve">示例：系统按“怒气值”兑换能力，越被羞辱能力越强，设定与打脸爽点强绑定</t>
  </si>
  <si>
    <r>
      <rPr>
        <b val="true"/>
        <sz val="10"/>
        <rFont val="Arial"/>
        <family val="0"/>
        <charset val="1"/>
      </rPr>
      <t xml:space="preserve">CP/</t>
    </r>
    <r>
      <rPr>
        <b val="true"/>
        <sz val="10"/>
        <rFont val="Noto Sans CJK SC"/>
        <family val="2"/>
      </rPr>
      <t xml:space="preserve">关系看点</t>
    </r>
  </si>
  <si>
    <t xml:space="preserve">示例：前未婚妻悔婚追妻火葬场</t>
  </si>
  <si>
    <t xml:space="preserve">对标作品</t>
  </si>
  <si>
    <r>
      <rPr>
        <i val="true"/>
        <sz val="10"/>
        <color rgb="FF808080"/>
        <rFont val="Noto Sans CJK SC"/>
        <family val="2"/>
      </rPr>
      <t xml:space="preserve">示例：与《</t>
    </r>
    <r>
      <rPr>
        <i val="true"/>
        <sz val="10"/>
        <color rgb="FF808080"/>
        <rFont val="Arial"/>
        <family val="0"/>
        <charset val="1"/>
      </rPr>
      <t xml:space="preserve">XXX</t>
    </r>
    <r>
      <rPr>
        <i val="true"/>
        <sz val="10"/>
        <color rgb="FF808080"/>
        <rFont val="Noto Sans CJK SC"/>
        <family val="2"/>
      </rPr>
      <t xml:space="preserve">》节奏相似，但金手指机制更强绑定爽点</t>
    </r>
  </si>
  <si>
    <t xml:space="preserve">目标读者画像</t>
  </si>
  <si>
    <t xml:space="preserve">示例：喜欢强反差、快节奏打脸文的男频读者</t>
  </si>
  <si>
    <r>
      <rPr>
        <b val="true"/>
        <sz val="10"/>
        <rFont val="Noto Sans CJK SC"/>
        <family val="2"/>
      </rPr>
      <t xml:space="preserve">推荐载体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平台</t>
    </r>
  </si>
  <si>
    <r>
      <rPr>
        <i val="true"/>
        <sz val="10"/>
        <color rgb="FF808080"/>
        <rFont val="Noto Sans CJK SC"/>
        <family val="2"/>
      </rPr>
      <t xml:space="preserve">示例：适合改编为短剧（黄金三集打脸感强）；原著适合起点</t>
    </r>
    <r>
      <rPr>
        <i val="true"/>
        <sz val="10"/>
        <color rgb="FF808080"/>
        <rFont val="Arial"/>
        <family val="0"/>
        <charset val="1"/>
      </rPr>
      <t xml:space="preserve">/</t>
    </r>
    <r>
      <rPr>
        <i val="true"/>
        <sz val="10"/>
        <color rgb="FF808080"/>
        <rFont val="Noto Sans CJK SC"/>
        <family val="2"/>
      </rPr>
      <t xml:space="preserve">番茄男频频道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</si>
</sst>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546A"/>
      <name val="Noto Sans CJK SC"/>
      <family val="2"/>
    </font>
    <font>
      <b val="true"/>
      <sz val="14"/>
      <color rgb="FF44546A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color rgb="FF1F3864"/>
      <name val="Noto Sans CJK SC"/>
      <family val="2"/>
    </font>
    <font>
      <b val="true"/>
      <sz val="10"/>
      <name val="Noto Sans CJK SC"/>
      <family val="2"/>
    </font>
    <font>
      <i val="true"/>
      <sz val="10"/>
      <color rgb="FF808080"/>
      <name val="Noto Sans CJK SC"/>
      <family val="2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44546A"/>
        <bgColor rgb="FF1F3864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546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1.6" hidden="false" customHeight="false" outlineLevel="0" collapsed="false">
      <c r="B2" s="1" t="s">
        <v>0</v>
      </c>
    </row>
    <row r="4" customFormat="false" ht="30" hidden="false" customHeight="true" outlineLevel="0" collapsed="false">
      <c r="B4" s="2" t="s">
        <v>1</v>
      </c>
    </row>
    <row r="6" customFormat="false" ht="19.5" hidden="false" customHeight="true" outlineLevel="0" collapsed="false">
      <c r="B6" s="3" t="s">
        <v>2</v>
      </c>
    </row>
    <row r="7" customFormat="false" ht="30" hidden="false" customHeight="true" outlineLevel="0" collapsed="false">
      <c r="B7" s="2" t="s">
        <v>3</v>
      </c>
    </row>
    <row r="8" customFormat="false" ht="30" hidden="false" customHeight="true" outlineLevel="0" collapsed="false">
      <c r="B8" s="2" t="s">
        <v>4</v>
      </c>
    </row>
    <row r="9" customFormat="false" ht="30" hidden="false" customHeight="true" outlineLevel="0" collapsed="false">
      <c r="B9" s="2" t="s">
        <v>5</v>
      </c>
    </row>
    <row r="10" customFormat="false" ht="30" hidden="false" customHeight="true" outlineLevel="0" collapsed="false">
      <c r="B10" s="2" t="s">
        <v>6</v>
      </c>
    </row>
    <row r="11" customFormat="false" ht="30" hidden="false" customHeight="true" outlineLevel="0" collapsed="false">
      <c r="B11" s="2" t="s">
        <v>7</v>
      </c>
    </row>
    <row r="12" customFormat="false" ht="30" hidden="false" customHeight="true" outlineLevel="0" collapsed="false">
      <c r="B12" s="2" t="s">
        <v>8</v>
      </c>
    </row>
    <row r="14" customFormat="false" ht="19.5" hidden="false" customHeight="true" outlineLevel="0" collapsed="false">
      <c r="B14" s="3" t="s">
        <v>9</v>
      </c>
    </row>
    <row r="15" customFormat="false" ht="30" hidden="false" customHeight="true" outlineLevel="0" collapsed="false">
      <c r="B15" s="2" t="s">
        <v>10</v>
      </c>
    </row>
    <row r="16" customFormat="false" ht="30" hidden="false" customHeight="true" outlineLevel="0" collapsed="false">
      <c r="B16" s="2" t="s">
        <v>11</v>
      </c>
    </row>
    <row r="17" customFormat="false" ht="30" hidden="false" customHeight="true" outlineLevel="0" collapsed="false">
      <c r="B17" s="2" t="s">
        <v>12</v>
      </c>
    </row>
    <row r="18" customFormat="false" ht="30" hidden="false" customHeight="true" outlineLevel="0" collapsed="false">
      <c r="B18" s="2" t="s">
        <v>13</v>
      </c>
    </row>
    <row r="19" customFormat="false" ht="30" hidden="false" customHeight="true" outlineLevel="0" collapsed="false">
      <c r="B19" s="2" t="s">
        <v>14</v>
      </c>
    </row>
    <row r="20" customFormat="false" ht="30" hidden="false" customHeight="true" outlineLevel="0" collapsed="false">
      <c r="B20" s="2" t="s">
        <v>15</v>
      </c>
    </row>
    <row r="22" customFormat="false" ht="19.5" hidden="false" customHeight="true" outlineLevel="0" collapsed="false">
      <c r="B22" s="3" t="s">
        <v>16</v>
      </c>
    </row>
    <row r="23" customFormat="false" ht="30" hidden="false" customHeight="true" outlineLevel="0" collapsed="false">
      <c r="B23" s="2" t="s">
        <v>17</v>
      </c>
    </row>
    <row r="24" customFormat="false" ht="30" hidden="false" customHeight="true" outlineLevel="0" collapsed="false">
      <c r="B24" s="2" t="s">
        <v>18</v>
      </c>
    </row>
    <row r="25" customFormat="false" ht="30" hidden="false" customHeight="true" outlineLevel="0" collapsed="false">
      <c r="B25" s="2" t="s">
        <v>19</v>
      </c>
    </row>
    <row r="27" customFormat="false" ht="30" hidden="false" customHeight="true" outlineLevel="0" collapsed="false">
      <c r="B27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4"/>
    <col collapsed="false" customWidth="true" hidden="false" outlineLevel="0" max="4" min="4" style="0" width="18"/>
    <col collapsed="false" customWidth="true" hidden="false" outlineLevel="0" max="5" min="5" style="0" width="46"/>
  </cols>
  <sheetData>
    <row r="2" customFormat="false" ht="17.35" hidden="false" customHeight="false" outlineLevel="0" collapsed="false">
      <c r="A2" s="4" t="s">
        <v>21</v>
      </c>
      <c r="B2" s="4"/>
      <c r="C2" s="4"/>
      <c r="D2" s="4"/>
      <c r="E2" s="4"/>
    </row>
    <row r="4" customFormat="false" ht="19.5" hidden="false" customHeight="true" outlineLevel="0" collapsed="false">
      <c r="A4" s="5" t="s">
        <v>22</v>
      </c>
      <c r="B4" s="6" t="s">
        <v>23</v>
      </c>
      <c r="D4" s="5" t="s">
        <v>24</v>
      </c>
      <c r="E4" s="6" t="s">
        <v>25</v>
      </c>
    </row>
    <row r="5" customFormat="false" ht="19.5" hidden="false" customHeight="true" outlineLevel="0" collapsed="false">
      <c r="A5" s="5" t="s">
        <v>26</v>
      </c>
      <c r="B5" s="6" t="s">
        <v>27</v>
      </c>
      <c r="D5" s="5" t="s">
        <v>28</v>
      </c>
      <c r="E5" s="6" t="s">
        <v>29</v>
      </c>
    </row>
    <row r="6" customFormat="false" ht="19.5" hidden="false" customHeight="true" outlineLevel="0" collapsed="false">
      <c r="A6" s="5" t="s">
        <v>30</v>
      </c>
      <c r="B6" s="6" t="s">
        <v>31</v>
      </c>
      <c r="D6" s="5" t="s">
        <v>32</v>
      </c>
      <c r="E6" s="6" t="s">
        <v>33</v>
      </c>
    </row>
    <row r="7" customFormat="false" ht="19.5" hidden="false" customHeight="true" outlineLevel="0" collapsed="false">
      <c r="A7" s="5" t="s">
        <v>34</v>
      </c>
      <c r="B7" s="6" t="s">
        <v>35</v>
      </c>
      <c r="D7" s="5" t="s">
        <v>36</v>
      </c>
      <c r="E7" s="6"/>
    </row>
    <row r="8" customFormat="false" ht="19.5" hidden="false" customHeight="true" outlineLevel="0" collapsed="false">
      <c r="A8" s="5" t="s">
        <v>37</v>
      </c>
      <c r="B8" s="6" t="s">
        <v>38</v>
      </c>
      <c r="D8" s="5" t="s">
        <v>39</v>
      </c>
      <c r="E8" s="6"/>
    </row>
    <row r="9" customFormat="false" ht="19.5" hidden="false" customHeight="true" outlineLevel="0" collapsed="false">
      <c r="A9" s="5" t="s">
        <v>40</v>
      </c>
      <c r="B9" s="6" t="s">
        <v>41</v>
      </c>
      <c r="D9" s="5" t="s">
        <v>42</v>
      </c>
      <c r="E9" s="6"/>
    </row>
    <row r="12" customFormat="false" ht="15" hidden="false" customHeight="false" outlineLevel="0" collapsed="false">
      <c r="A12" s="7" t="s">
        <v>43</v>
      </c>
      <c r="B12" s="7"/>
      <c r="C12" s="7"/>
      <c r="D12" s="7"/>
      <c r="E12" s="7"/>
    </row>
  </sheetData>
  <mergeCells count="2">
    <mergeCell ref="A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8" min="7" style="0" width="2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31.5" hidden="false" customHeight="tru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42</v>
      </c>
    </row>
    <row r="2" customFormat="false" ht="45.75" hidden="false" customHeight="true" outlineLevel="0" collapsed="false">
      <c r="A2" s="9" t="s">
        <v>55</v>
      </c>
      <c r="B2" s="10" t="s">
        <v>56</v>
      </c>
      <c r="C2" s="10" t="n">
        <v>3200</v>
      </c>
      <c r="D2" s="10" t="s">
        <v>57</v>
      </c>
      <c r="E2" s="10" t="s">
        <v>58</v>
      </c>
      <c r="F2" s="10" t="s">
        <v>59</v>
      </c>
      <c r="G2" s="10" t="s">
        <v>60</v>
      </c>
      <c r="H2" s="10"/>
      <c r="I2" s="10" t="s">
        <v>61</v>
      </c>
      <c r="J2" s="10" t="s">
        <v>62</v>
      </c>
      <c r="K2" s="10" t="s">
        <v>63</v>
      </c>
      <c r="L2" s="10" t="s">
        <v>64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customFormat="false" ht="15" hidden="false" customHeight="fals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customFormat="false" ht="15" hidden="false" customHeight="fals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customFormat="false" ht="15" hidden="false" customHeight="fals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customFormat="false" ht="15" hidden="false" customHeight="fals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customFormat="false" ht="15" hidden="false" customHeight="fals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 customFormat="false" ht="15" hidden="false" customHeight="fals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 customFormat="false" ht="15" hidden="false" customHeight="fals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 customFormat="false" ht="15" hidden="false" customHeight="fals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 customFormat="false" ht="15" hidden="false" customHeight="fals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 customFormat="false" ht="15" hidden="false" customHeight="fals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 customFormat="false" ht="15" hidden="false" customHeight="fals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 customFormat="false" ht="15" hidden="false" customHeight="fals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 customFormat="false" ht="15" hidden="false" customHeight="fals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 customFormat="false" ht="15" hidden="false" customHeight="fals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 customFormat="false" ht="15" hidden="false" customHeight="fals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 customFormat="false" ht="15" hidden="false" customHeight="fals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 customFormat="false" ht="15" hidden="false" customHeight="fals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 customFormat="false" ht="15" hidden="false" customHeight="fals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 customFormat="false" ht="15" hidden="false" customHeight="fals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 customFormat="false" ht="15" hidden="false" customHeight="fals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customFormat="false" ht="15" hidden="false" customHeight="fals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customFormat="false" ht="15" hidden="false" customHeight="fals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customFormat="false" ht="15" hidden="false" customHeight="fals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customFormat="false" ht="15" hidden="false" customHeight="fals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customFormat="false" ht="15" hidden="false" customHeight="fals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customFormat="false" ht="15" hidden="false" customHeight="fals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 customFormat="false" ht="15" hidden="false" customHeight="fals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 customFormat="false" ht="15" hidden="false" customHeight="fals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 customFormat="false" ht="15" hidden="false" customHeight="fals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 customFormat="false" ht="15" hidden="false" customHeight="fals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 customFormat="false" ht="15" hidden="false" customHeight="fals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 customFormat="false" ht="15" hidden="false" customHeight="fals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 customFormat="false" ht="15" hidden="false" customHeight="fals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 customFormat="false" ht="15" hidden="false" customHeight="fals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 customFormat="false" ht="15" hidden="false" customHeight="fals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 customFormat="false" ht="15" hidden="false" customHeight="fals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 customFormat="false" ht="15" hidden="false" customHeight="fals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 customFormat="false" ht="15" hidden="false" customHeight="fals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 customFormat="false" ht="15" hidden="false" customHeight="fals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 customFormat="false" ht="15" hidden="false" customHeight="fals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 customFormat="false" ht="15" hidden="false" customHeight="fals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 customFormat="false" ht="15" hidden="false" customHeight="fals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 customFormat="false" ht="15" hidden="false" customHeight="fals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 customFormat="false" ht="15" hidden="false" customHeight="fals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 customFormat="false" ht="15" hidden="false" customHeight="fals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 customFormat="false" ht="15" hidden="false" customHeight="fals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 customFormat="false" ht="15" hidden="false" customHeight="fals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 customFormat="false" ht="15" hidden="false" customHeight="fals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 customFormat="false" ht="15" hidden="false" customHeight="fals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 customFormat="false" ht="15" hidden="false" customHeight="fals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 customFormat="false" ht="15" hidden="false" customHeight="fals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 customFormat="false" ht="15" hidden="false" customHeight="fals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 customFormat="false" ht="15" hidden="false" customHeight="fals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 customFormat="false" ht="15" hidden="false" customHeight="fals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 customFormat="false" ht="15" hidden="false" customHeight="fals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 customFormat="false" ht="15" hidden="false" customHeight="fals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 customFormat="false" ht="15" hidden="false" customHeight="fals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 customFormat="false" ht="15" hidden="false" customHeight="fals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 customFormat="false" ht="15" hidden="false" customHeight="fals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 customFormat="false" ht="15" hidden="false" customHeight="fals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 customFormat="false" ht="15" hidden="false" customHeight="fals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 customFormat="false" ht="15" hidden="false" customHeight="fals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 customFormat="false" ht="15" hidden="false" customHeight="fals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 customFormat="false" ht="15" hidden="false" customHeight="fals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 customFormat="false" ht="15" hidden="false" customHeight="fals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 customFormat="false" ht="15" hidden="false" customHeight="fals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 customFormat="false" ht="15" hidden="false" customHeight="fals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 customFormat="false" ht="15" hidden="false" customHeight="fals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 customFormat="false" ht="15" hidden="false" customHeight="fals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 customFormat="false" ht="15" hidden="false" customHeight="fals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 customFormat="false" ht="15" hidden="false" customHeight="fals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 customFormat="false" ht="15" hidden="false" customHeight="fals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 customFormat="false" ht="15" hidden="false" customHeight="fals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 customFormat="false" ht="15" hidden="false" customHeight="fals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 customFormat="false" ht="15" hidden="false" customHeight="fals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 customFormat="false" ht="15" hidden="false" customHeight="fals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 customFormat="false" ht="15" hidden="false" customHeight="fals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 customFormat="false" ht="15" hidden="false" customHeight="fals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 customFormat="false" ht="15" hidden="false" customHeight="fals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 customFormat="false" ht="15" hidden="false" customHeight="fals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 customFormat="false" ht="15" hidden="false" customHeight="fals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 customFormat="false" ht="15" hidden="false" customHeight="fals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 customFormat="false" ht="15" hidden="false" customHeight="fals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 customFormat="false" ht="15" hidden="false" customHeight="fals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 customFormat="false" ht="15" hidden="false" customHeight="fals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 customFormat="false" ht="15" hidden="false" customHeight="fals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 customFormat="false" ht="15" hidden="false" customHeight="fals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 customFormat="false" ht="15" hidden="false" customHeight="fals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 customFormat="false" ht="15" hidden="false" customHeight="fals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 customFormat="false" ht="15" hidden="false" customHeight="fals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 customFormat="false" ht="15" hidden="false" customHeight="fals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 customFormat="false" ht="15" hidden="false" customHeight="fals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 customFormat="false" ht="15" hidden="false" customHeight="fals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 customFormat="false" ht="15" hidden="false" customHeight="fals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 customFormat="false" ht="15" hidden="false" customHeight="fals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 customFormat="false" ht="15" hidden="false" customHeight="fals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 customFormat="false" ht="15" hidden="false" customHeight="fals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 customFormat="false" ht="15" hidden="false" customHeight="fals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 customFormat="false" ht="15" hidden="false" customHeight="fals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</sheetData>
  <autoFilter ref="A1:L300"/>
  <dataValidations count="4">
    <dataValidation allowBlank="true" errorStyle="stop" operator="between" showDropDown="false" showErrorMessage="false" showInputMessage="false" sqref="I3:I300" type="list">
      <formula1>"打脸,逆袭,身份揭露,危机反转,情感高光,能力突破,阴谋算计,悬念揭晓,无"</formula1>
      <formula2>0</formula2>
    </dataValidation>
    <dataValidation allowBlank="true" errorStyle="stop" operator="between" showDropDown="false" showErrorMessage="false" showInputMessage="false" sqref="J3:J300" type="list">
      <formula1>"甜,虐,爽,虐后甜,紧张,治愈,搞笑,热血,平淡"</formula1>
      <formula2>0</formula2>
    </dataValidation>
    <dataValidation allowBlank="true" errorStyle="stop" operator="between" showDropDown="false" showErrorMessage="false" showInputMessage="false" sqref="K3:K300" type="list">
      <formula1>"悬念,危机,反转,情感冲击,信息量炸弹,无"</formula1>
      <formula2>0</formula2>
    </dataValidation>
    <dataValidation allowBlank="true" errorStyle="stop" operator="between" showDropDown="false" showErrorMessage="false" showInputMessage="false" sqref="D3:D300" type="list">
      <formula1>结构总览!$B$2:$B$30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30"/>
  </cols>
  <sheetData>
    <row r="1" customFormat="false" ht="31.5" hidden="false" customHeight="true" outlineLevel="0" collapsed="false">
      <c r="A1" s="8" t="s">
        <v>65</v>
      </c>
      <c r="B1" s="8" t="s">
        <v>66</v>
      </c>
      <c r="C1" s="8" t="s">
        <v>67</v>
      </c>
      <c r="D1" s="8" t="s">
        <v>68</v>
      </c>
      <c r="E1" s="8" t="s">
        <v>69</v>
      </c>
      <c r="F1" s="8" t="s">
        <v>70</v>
      </c>
      <c r="G1" s="8" t="s">
        <v>71</v>
      </c>
      <c r="H1" s="8" t="s">
        <v>72</v>
      </c>
    </row>
    <row r="2" customFormat="false" ht="45.75" hidden="false" customHeight="true" outlineLevel="0" collapsed="false">
      <c r="A2" s="10" t="n">
        <v>1</v>
      </c>
      <c r="B2" s="10" t="s">
        <v>57</v>
      </c>
      <c r="C2" s="10" t="n">
        <v>1</v>
      </c>
      <c r="D2" s="10" t="n">
        <v>15</v>
      </c>
      <c r="E2" s="10" t="n">
        <f aca="false">SUMIFS(逐章拆解!$C$3:$C$300,逐章拆解!$D$3:$D$300,B2)</f>
        <v>0</v>
      </c>
      <c r="F2" s="10" t="s">
        <v>57</v>
      </c>
      <c r="G2" s="10" t="s">
        <v>73</v>
      </c>
      <c r="H2" s="10" t="s">
        <v>74</v>
      </c>
    </row>
    <row r="3" customFormat="false" ht="15" hidden="false" customHeight="false" outlineLevel="0" collapsed="false">
      <c r="A3" s="11"/>
      <c r="B3" s="11"/>
      <c r="C3" s="11"/>
      <c r="D3" s="11"/>
      <c r="E3" s="11" t="n">
        <f aca="false">SUMIFS(逐章拆解!$C$3:$C$300,逐章拆解!$D$3:$D$300,B3)</f>
        <v>0</v>
      </c>
      <c r="F3" s="11"/>
      <c r="G3" s="11"/>
      <c r="H3" s="11"/>
    </row>
    <row r="4" customFormat="false" ht="15" hidden="false" customHeight="false" outlineLevel="0" collapsed="false">
      <c r="A4" s="11"/>
      <c r="B4" s="11"/>
      <c r="C4" s="11"/>
      <c r="D4" s="11"/>
      <c r="E4" s="11" t="n">
        <f aca="false">SUMIFS(逐章拆解!$C$3:$C$300,逐章拆解!$D$3:$D$300,B4)</f>
        <v>0</v>
      </c>
      <c r="F4" s="11"/>
      <c r="G4" s="11"/>
      <c r="H4" s="11"/>
    </row>
    <row r="5" customFormat="false" ht="15" hidden="false" customHeight="false" outlineLevel="0" collapsed="false">
      <c r="A5" s="11"/>
      <c r="B5" s="11"/>
      <c r="C5" s="11"/>
      <c r="D5" s="11"/>
      <c r="E5" s="11" t="n">
        <f aca="false">SUMIFS(逐章拆解!$C$3:$C$300,逐章拆解!$D$3:$D$300,B5)</f>
        <v>0</v>
      </c>
      <c r="F5" s="11"/>
      <c r="G5" s="11"/>
      <c r="H5" s="11"/>
    </row>
    <row r="6" customFormat="false" ht="15" hidden="false" customHeight="false" outlineLevel="0" collapsed="false">
      <c r="A6" s="11"/>
      <c r="B6" s="11"/>
      <c r="C6" s="11"/>
      <c r="D6" s="11"/>
      <c r="E6" s="11" t="n">
        <f aca="false">SUMIFS(逐章拆解!$C$3:$C$300,逐章拆解!$D$3:$D$300,B6)</f>
        <v>0</v>
      </c>
      <c r="F6" s="11"/>
      <c r="G6" s="11"/>
      <c r="H6" s="11"/>
    </row>
    <row r="7" customFormat="false" ht="15" hidden="false" customHeight="false" outlineLevel="0" collapsed="false">
      <c r="A7" s="11"/>
      <c r="B7" s="11"/>
      <c r="C7" s="11"/>
      <c r="D7" s="11"/>
      <c r="E7" s="11" t="n">
        <f aca="false">SUMIFS(逐章拆解!$C$3:$C$300,逐章拆解!$D$3:$D$300,B7)</f>
        <v>0</v>
      </c>
      <c r="F7" s="11"/>
      <c r="G7" s="11"/>
      <c r="H7" s="11"/>
    </row>
    <row r="8" customFormat="false" ht="15" hidden="false" customHeight="false" outlineLevel="0" collapsed="false">
      <c r="A8" s="11"/>
      <c r="B8" s="11"/>
      <c r="C8" s="11"/>
      <c r="D8" s="11"/>
      <c r="E8" s="11" t="n">
        <f aca="false">SUMIFS(逐章拆解!$C$3:$C$300,逐章拆解!$D$3:$D$300,B8)</f>
        <v>0</v>
      </c>
      <c r="F8" s="11"/>
      <c r="G8" s="11"/>
      <c r="H8" s="11"/>
    </row>
    <row r="9" customFormat="false" ht="15" hidden="false" customHeight="false" outlineLevel="0" collapsed="false">
      <c r="A9" s="11"/>
      <c r="B9" s="11"/>
      <c r="C9" s="11"/>
      <c r="D9" s="11"/>
      <c r="E9" s="11" t="n">
        <f aca="false">SUMIFS(逐章拆解!$C$3:$C$300,逐章拆解!$D$3:$D$300,B9)</f>
        <v>0</v>
      </c>
      <c r="F9" s="11"/>
      <c r="G9" s="11"/>
      <c r="H9" s="11"/>
    </row>
    <row r="10" customFormat="false" ht="15" hidden="false" customHeight="false" outlineLevel="0" collapsed="false">
      <c r="A10" s="11"/>
      <c r="B10" s="11"/>
      <c r="C10" s="11"/>
      <c r="D10" s="11"/>
      <c r="E10" s="11" t="n">
        <f aca="false">SUMIFS(逐章拆解!$C$3:$C$300,逐章拆解!$D$3:$D$300,B10)</f>
        <v>0</v>
      </c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11" t="n">
        <f aca="false">SUMIFS(逐章拆解!$C$3:$C$300,逐章拆解!$D$3:$D$300,B11)</f>
        <v>0</v>
      </c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1" t="n">
        <f aca="false">SUMIFS(逐章拆解!$C$3:$C$300,逐章拆解!$D$3:$D$300,B12)</f>
        <v>0</v>
      </c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1" t="n">
        <f aca="false">SUMIFS(逐章拆解!$C$3:$C$300,逐章拆解!$D$3:$D$300,B13)</f>
        <v>0</v>
      </c>
      <c r="F13" s="11"/>
      <c r="G13" s="11"/>
      <c r="H13" s="11"/>
    </row>
    <row r="14" customFormat="false" ht="15" hidden="false" customHeight="false" outlineLevel="0" collapsed="false">
      <c r="A14" s="11"/>
      <c r="B14" s="11"/>
      <c r="C14" s="11"/>
      <c r="D14" s="11"/>
      <c r="E14" s="11" t="n">
        <f aca="false">SUMIFS(逐章拆解!$C$3:$C$300,逐章拆解!$D$3:$D$300,B14)</f>
        <v>0</v>
      </c>
      <c r="F14" s="11"/>
      <c r="G14" s="11"/>
      <c r="H14" s="11"/>
    </row>
    <row r="15" customFormat="false" ht="15" hidden="false" customHeight="false" outlineLevel="0" collapsed="false">
      <c r="A15" s="11"/>
      <c r="B15" s="11"/>
      <c r="C15" s="11"/>
      <c r="D15" s="11"/>
      <c r="E15" s="11" t="n">
        <f aca="false">SUMIFS(逐章拆解!$C$3:$C$300,逐章拆解!$D$3:$D$300,B15)</f>
        <v>0</v>
      </c>
      <c r="F15" s="11"/>
      <c r="G15" s="11"/>
      <c r="H15" s="11"/>
    </row>
    <row r="16" customFormat="false" ht="15" hidden="false" customHeight="false" outlineLevel="0" collapsed="false">
      <c r="A16" s="11"/>
      <c r="B16" s="11"/>
      <c r="C16" s="11"/>
      <c r="D16" s="11"/>
      <c r="E16" s="11" t="n">
        <f aca="false">SUMIFS(逐章拆解!$C$3:$C$300,逐章拆解!$D$3:$D$300,B16)</f>
        <v>0</v>
      </c>
      <c r="F16" s="11"/>
      <c r="G16" s="11"/>
      <c r="H16" s="11"/>
    </row>
    <row r="17" customFormat="false" ht="15" hidden="false" customHeight="false" outlineLevel="0" collapsed="false">
      <c r="A17" s="11"/>
      <c r="B17" s="11"/>
      <c r="C17" s="11"/>
      <c r="D17" s="11"/>
      <c r="E17" s="11" t="n">
        <f aca="false">SUMIFS(逐章拆解!$C$3:$C$300,逐章拆解!$D$3:$D$300,B17)</f>
        <v>0</v>
      </c>
      <c r="F17" s="11"/>
      <c r="G17" s="11"/>
      <c r="H17" s="11"/>
    </row>
    <row r="18" customFormat="false" ht="15" hidden="false" customHeight="false" outlineLevel="0" collapsed="false">
      <c r="A18" s="11"/>
      <c r="B18" s="11"/>
      <c r="C18" s="11"/>
      <c r="D18" s="11"/>
      <c r="E18" s="11" t="n">
        <f aca="false">SUMIFS(逐章拆解!$C$3:$C$300,逐章拆解!$D$3:$D$300,B18)</f>
        <v>0</v>
      </c>
      <c r="F18" s="11"/>
      <c r="G18" s="11"/>
      <c r="H18" s="11"/>
    </row>
    <row r="19" customFormat="false" ht="15" hidden="false" customHeight="false" outlineLevel="0" collapsed="false">
      <c r="A19" s="11"/>
      <c r="B19" s="11"/>
      <c r="C19" s="11"/>
      <c r="D19" s="11"/>
      <c r="E19" s="11" t="n">
        <f aca="false">SUMIFS(逐章拆解!$C$3:$C$300,逐章拆解!$D$3:$D$300,B19)</f>
        <v>0</v>
      </c>
      <c r="F19" s="11"/>
      <c r="G19" s="11"/>
      <c r="H19" s="11"/>
    </row>
    <row r="20" customFormat="false" ht="15" hidden="false" customHeight="false" outlineLevel="0" collapsed="false">
      <c r="A20" s="11"/>
      <c r="B20" s="11"/>
      <c r="C20" s="11"/>
      <c r="D20" s="11"/>
      <c r="E20" s="11" t="n">
        <f aca="false">SUMIFS(逐章拆解!$C$3:$C$300,逐章拆解!$D$3:$D$300,B20)</f>
        <v>0</v>
      </c>
      <c r="F20" s="11"/>
      <c r="G20" s="11"/>
      <c r="H20" s="11"/>
    </row>
    <row r="21" customFormat="false" ht="15" hidden="false" customHeight="false" outlineLevel="0" collapsed="false">
      <c r="A21" s="11"/>
      <c r="B21" s="11"/>
      <c r="C21" s="11"/>
      <c r="D21" s="11"/>
      <c r="E21" s="11" t="n">
        <f aca="false">SUMIFS(逐章拆解!$C$3:$C$300,逐章拆解!$D$3:$D$300,B21)</f>
        <v>0</v>
      </c>
      <c r="F21" s="11"/>
      <c r="G21" s="11"/>
      <c r="H21" s="11"/>
    </row>
    <row r="22" customFormat="false" ht="15" hidden="false" customHeight="false" outlineLevel="0" collapsed="false">
      <c r="A22" s="11"/>
      <c r="B22" s="11"/>
      <c r="C22" s="11"/>
      <c r="D22" s="11"/>
      <c r="E22" s="11" t="n">
        <f aca="false">SUMIFS(逐章拆解!$C$3:$C$300,逐章拆解!$D$3:$D$300,B22)</f>
        <v>0</v>
      </c>
      <c r="F22" s="11"/>
      <c r="G22" s="11"/>
      <c r="H22" s="11"/>
    </row>
    <row r="23" customFormat="false" ht="15" hidden="false" customHeight="false" outlineLevel="0" collapsed="false">
      <c r="A23" s="11"/>
      <c r="B23" s="11"/>
      <c r="C23" s="11"/>
      <c r="D23" s="11"/>
      <c r="E23" s="11" t="n">
        <f aca="false">SUMIFS(逐章拆解!$C$3:$C$300,逐章拆解!$D$3:$D$300,B23)</f>
        <v>0</v>
      </c>
      <c r="F23" s="11"/>
      <c r="G23" s="11"/>
      <c r="H23" s="11"/>
    </row>
    <row r="24" customFormat="false" ht="15" hidden="false" customHeight="false" outlineLevel="0" collapsed="false">
      <c r="A24" s="11"/>
      <c r="B24" s="11"/>
      <c r="C24" s="11"/>
      <c r="D24" s="11"/>
      <c r="E24" s="11" t="n">
        <f aca="false">SUMIFS(逐章拆解!$C$3:$C$300,逐章拆解!$D$3:$D$300,B24)</f>
        <v>0</v>
      </c>
      <c r="F24" s="11"/>
      <c r="G24" s="11"/>
      <c r="H24" s="11"/>
    </row>
    <row r="25" customFormat="false" ht="15" hidden="false" customHeight="false" outlineLevel="0" collapsed="false">
      <c r="A25" s="11"/>
      <c r="B25" s="11"/>
      <c r="C25" s="11"/>
      <c r="D25" s="11"/>
      <c r="E25" s="11" t="n">
        <f aca="false">SUMIFS(逐章拆解!$C$3:$C$300,逐章拆解!$D$3:$D$300,B25)</f>
        <v>0</v>
      </c>
      <c r="F25" s="11"/>
      <c r="G25" s="11"/>
      <c r="H25" s="11"/>
    </row>
    <row r="26" customFormat="false" ht="15" hidden="false" customHeight="false" outlineLevel="0" collapsed="false">
      <c r="A26" s="11"/>
      <c r="B26" s="11"/>
      <c r="C26" s="11"/>
      <c r="D26" s="11"/>
      <c r="E26" s="11" t="n">
        <f aca="false">SUMIFS(逐章拆解!$C$3:$C$300,逐章拆解!$D$3:$D$300,B26)</f>
        <v>0</v>
      </c>
      <c r="F26" s="11"/>
      <c r="G26" s="11"/>
      <c r="H26" s="11"/>
    </row>
    <row r="27" customFormat="false" ht="15" hidden="false" customHeight="false" outlineLevel="0" collapsed="false">
      <c r="A27" s="11"/>
      <c r="B27" s="11"/>
      <c r="C27" s="11"/>
      <c r="D27" s="11"/>
      <c r="E27" s="11" t="n">
        <f aca="false">SUMIFS(逐章拆解!$C$3:$C$300,逐章拆解!$D$3:$D$300,B27)</f>
        <v>0</v>
      </c>
      <c r="F27" s="11"/>
      <c r="G27" s="11"/>
      <c r="H27" s="11"/>
    </row>
    <row r="28" customFormat="false" ht="15" hidden="false" customHeight="false" outlineLevel="0" collapsed="false">
      <c r="A28" s="11"/>
      <c r="B28" s="11"/>
      <c r="C28" s="11"/>
      <c r="D28" s="11"/>
      <c r="E28" s="11" t="n">
        <f aca="false">SUMIFS(逐章拆解!$C$3:$C$300,逐章拆解!$D$3:$D$300,B28)</f>
        <v>0</v>
      </c>
      <c r="F28" s="11"/>
      <c r="G28" s="11"/>
      <c r="H28" s="11"/>
    </row>
    <row r="29" customFormat="false" ht="15" hidden="false" customHeight="false" outlineLevel="0" collapsed="false">
      <c r="A29" s="11"/>
      <c r="B29" s="11"/>
      <c r="C29" s="11"/>
      <c r="D29" s="11"/>
      <c r="E29" s="11" t="n">
        <f aca="false">SUMIFS(逐章拆解!$C$3:$C$300,逐章拆解!$D$3:$D$300,B29)</f>
        <v>0</v>
      </c>
      <c r="F29" s="11"/>
      <c r="G29" s="11"/>
      <c r="H29" s="11"/>
    </row>
    <row r="30" customFormat="false" ht="15" hidden="false" customHeight="false" outlineLevel="0" collapsed="false">
      <c r="A30" s="11"/>
      <c r="B30" s="11"/>
      <c r="C30" s="11"/>
      <c r="D30" s="11"/>
      <c r="E30" s="11" t="n">
        <f aca="false">SUMIFS(逐章拆解!$C$3:$C$300,逐章拆解!$D$3:$D$300,B30)</f>
        <v>0</v>
      </c>
      <c r="F30" s="11"/>
      <c r="G30" s="11"/>
      <c r="H30" s="11"/>
    </row>
  </sheetData>
  <dataValidations count="1">
    <dataValidation allowBlank="true" errorStyle="stop" operator="between" showDropDown="false" showErrorMessage="false" showInputMessage="false" sqref="F3:F30" type="list">
      <formula1>"开篇建置,发展铺垫,小高潮,转折,大高潮,回落,结局"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6" min="5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31.5" hidden="false" customHeight="true" outlineLevel="0" collapsed="false">
      <c r="A1" s="8" t="s">
        <v>75</v>
      </c>
      <c r="B1" s="8" t="s">
        <v>76</v>
      </c>
      <c r="C1" s="8" t="s">
        <v>77</v>
      </c>
      <c r="D1" s="8" t="s">
        <v>78</v>
      </c>
      <c r="E1" s="8" t="s">
        <v>79</v>
      </c>
      <c r="F1" s="8" t="s">
        <v>80</v>
      </c>
      <c r="G1" s="8" t="s">
        <v>81</v>
      </c>
      <c r="H1" s="8" t="s">
        <v>82</v>
      </c>
      <c r="I1" s="8" t="s">
        <v>42</v>
      </c>
    </row>
    <row r="2" customFormat="false" ht="45.75" hidden="false" customHeight="true" outlineLevel="0" collapsed="false">
      <c r="A2" s="10" t="s">
        <v>83</v>
      </c>
      <c r="B2" s="10" t="s">
        <v>84</v>
      </c>
      <c r="C2" s="10" t="n">
        <v>1</v>
      </c>
      <c r="D2" s="10" t="s">
        <v>85</v>
      </c>
      <c r="E2" s="10" t="s">
        <v>86</v>
      </c>
      <c r="F2" s="10" t="s">
        <v>87</v>
      </c>
      <c r="G2" s="10" t="s">
        <v>88</v>
      </c>
      <c r="H2" s="10" t="s">
        <v>89</v>
      </c>
      <c r="I2" s="10" t="s">
        <v>90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  <c r="I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</row>
  </sheetData>
  <dataValidations count="1">
    <dataValidation allowBlank="true" errorStyle="stop" operator="between" showDropDown="false" showErrorMessage="false" showInputMessage="false" sqref="H3:H200" type="list">
      <formula1>"主角,核心配角,次要配角,工具人,反派"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4"/>
    <col collapsed="false" customWidth="true" hidden="false" outlineLevel="0" max="5" min="5" style="0" width="20"/>
    <col collapsed="false" customWidth="true" hidden="false" outlineLevel="0" max="7" min="6" style="0" width="12"/>
  </cols>
  <sheetData>
    <row r="1" customFormat="false" ht="21.6" hidden="false" customHeight="false" outlineLevel="0" collapsed="false">
      <c r="A1" s="4" t="s">
        <v>91</v>
      </c>
      <c r="B1" s="4"/>
      <c r="C1" s="4"/>
      <c r="D1" s="4"/>
      <c r="E1" s="4"/>
      <c r="F1" s="4"/>
      <c r="G1" s="4"/>
    </row>
    <row r="3" customFormat="false" ht="15" hidden="false" customHeight="false" outlineLevel="0" collapsed="false">
      <c r="A3" s="12" t="s">
        <v>92</v>
      </c>
      <c r="B3" s="12"/>
    </row>
    <row r="4" customFormat="false" ht="15" hidden="false" customHeight="false" outlineLevel="0" collapsed="false">
      <c r="A4" s="13" t="s">
        <v>24</v>
      </c>
      <c r="B4" s="13" t="n">
        <f aca="false">COUNT(逐章拆解!$A$3:$A$300)</f>
        <v>0</v>
      </c>
    </row>
    <row r="5" customFormat="false" ht="15" hidden="false" customHeight="false" outlineLevel="0" collapsed="false">
      <c r="A5" s="13" t="s">
        <v>40</v>
      </c>
      <c r="B5" s="13" t="n">
        <f aca="false">SUM(逐章拆解!$C$3:$C$300)</f>
        <v>0</v>
      </c>
    </row>
    <row r="6" customFormat="false" ht="15" hidden="false" customHeight="false" outlineLevel="0" collapsed="false">
      <c r="A6" s="13" t="s">
        <v>93</v>
      </c>
      <c r="B6" s="13" t="n">
        <f aca="false">IFERROR(ROUND(B5/B4,0),0)</f>
        <v>0</v>
      </c>
    </row>
    <row r="8" customFormat="false" ht="17.15" hidden="false" customHeight="false" outlineLevel="0" collapsed="false">
      <c r="A8" s="12" t="s">
        <v>94</v>
      </c>
      <c r="B8" s="12"/>
      <c r="C8" s="12"/>
    </row>
    <row r="9" customFormat="false" ht="15" hidden="false" customHeight="false" outlineLevel="0" collapsed="false">
      <c r="A9" s="14" t="s">
        <v>95</v>
      </c>
      <c r="B9" s="14" t="s">
        <v>96</v>
      </c>
      <c r="C9" s="14" t="s">
        <v>97</v>
      </c>
    </row>
    <row r="10" customFormat="false" ht="15" hidden="false" customHeight="false" outlineLevel="0" collapsed="false">
      <c r="A10" s="13" t="s">
        <v>61</v>
      </c>
      <c r="B10" s="13" t="n">
        <f aca="false">COUNTIF(逐章拆解!$I$3:$I$300,A10)</f>
        <v>0</v>
      </c>
      <c r="C10" s="15" t="n">
        <f aca="false">IFERROR(B10/$B$4,0)</f>
        <v>0</v>
      </c>
    </row>
    <row r="11" customFormat="false" ht="15" hidden="false" customHeight="false" outlineLevel="0" collapsed="false">
      <c r="A11" s="13" t="s">
        <v>98</v>
      </c>
      <c r="B11" s="13" t="n">
        <f aca="false">COUNTIF(逐章拆解!$I$3:$I$300,A11)</f>
        <v>0</v>
      </c>
      <c r="C11" s="15" t="n">
        <f aca="false">IFERROR(B11/$B$4,0)</f>
        <v>0</v>
      </c>
    </row>
    <row r="12" customFormat="false" ht="15" hidden="false" customHeight="false" outlineLevel="0" collapsed="false">
      <c r="A12" s="13" t="s">
        <v>99</v>
      </c>
      <c r="B12" s="13" t="n">
        <f aca="false">COUNTIF(逐章拆解!$I$3:$I$300,A12)</f>
        <v>0</v>
      </c>
      <c r="C12" s="15" t="n">
        <f aca="false">IFERROR(B12/$B$4,0)</f>
        <v>0</v>
      </c>
    </row>
    <row r="13" customFormat="false" ht="15" hidden="false" customHeight="false" outlineLevel="0" collapsed="false">
      <c r="A13" s="13" t="s">
        <v>100</v>
      </c>
      <c r="B13" s="13" t="n">
        <f aca="false">COUNTIF(逐章拆解!$I$3:$I$300,A13)</f>
        <v>0</v>
      </c>
      <c r="C13" s="15" t="n">
        <f aca="false">IFERROR(B13/$B$4,0)</f>
        <v>0</v>
      </c>
    </row>
    <row r="14" customFormat="false" ht="15" hidden="false" customHeight="false" outlineLevel="0" collapsed="false">
      <c r="A14" s="13" t="s">
        <v>101</v>
      </c>
      <c r="B14" s="13" t="n">
        <f aca="false">COUNTIF(逐章拆解!$I$3:$I$300,A14)</f>
        <v>0</v>
      </c>
      <c r="C14" s="15" t="n">
        <f aca="false">IFERROR(B14/$B$4,0)</f>
        <v>0</v>
      </c>
    </row>
    <row r="15" customFormat="false" ht="15" hidden="false" customHeight="false" outlineLevel="0" collapsed="false">
      <c r="A15" s="13" t="s">
        <v>102</v>
      </c>
      <c r="B15" s="13" t="n">
        <f aca="false">COUNTIF(逐章拆解!$I$3:$I$300,A15)</f>
        <v>0</v>
      </c>
      <c r="C15" s="15" t="n">
        <f aca="false">IFERROR(B15/$B$4,0)</f>
        <v>0</v>
      </c>
    </row>
    <row r="16" customFormat="false" ht="15" hidden="false" customHeight="false" outlineLevel="0" collapsed="false">
      <c r="A16" s="13" t="s">
        <v>103</v>
      </c>
      <c r="B16" s="13" t="n">
        <f aca="false">COUNTIF(逐章拆解!$I$3:$I$300,A16)</f>
        <v>0</v>
      </c>
      <c r="C16" s="15" t="n">
        <f aca="false">IFERROR(B16/$B$4,0)</f>
        <v>0</v>
      </c>
    </row>
    <row r="17" customFormat="false" ht="15" hidden="false" customHeight="false" outlineLevel="0" collapsed="false">
      <c r="A17" s="13" t="s">
        <v>104</v>
      </c>
      <c r="B17" s="13" t="n">
        <f aca="false">COUNTIF(逐章拆解!$I$3:$I$300,A17)</f>
        <v>0</v>
      </c>
      <c r="C17" s="15" t="n">
        <f aca="false">IFERROR(B17/$B$4,0)</f>
        <v>0</v>
      </c>
    </row>
    <row r="18" customFormat="false" ht="15" hidden="false" customHeight="false" outlineLevel="0" collapsed="false">
      <c r="A18" s="13" t="s">
        <v>105</v>
      </c>
      <c r="B18" s="13" t="n">
        <f aca="false">COUNTIF(逐章拆解!$I$3:$I$300,A18)</f>
        <v>0</v>
      </c>
      <c r="C18" s="15" t="n">
        <f aca="false">IFERROR(B18/$B$4,0)</f>
        <v>0</v>
      </c>
    </row>
    <row r="19" customFormat="false" ht="15" hidden="false" customHeight="false" outlineLevel="0" collapsed="false">
      <c r="A19" s="13" t="s">
        <v>106</v>
      </c>
      <c r="B19" s="16" t="n">
        <f aca="false">IFERROR($B$4/SUM(B10:B17),0)</f>
        <v>0</v>
      </c>
    </row>
    <row r="21" customFormat="false" ht="15" hidden="false" customHeight="false" outlineLevel="0" collapsed="false">
      <c r="A21" s="12" t="s">
        <v>107</v>
      </c>
      <c r="B21" s="12"/>
      <c r="C21" s="12"/>
    </row>
    <row r="22" customFormat="false" ht="15" hidden="false" customHeight="false" outlineLevel="0" collapsed="false">
      <c r="A22" s="14" t="s">
        <v>108</v>
      </c>
      <c r="B22" s="14" t="s">
        <v>96</v>
      </c>
      <c r="C22" s="14" t="s">
        <v>97</v>
      </c>
    </row>
    <row r="23" customFormat="false" ht="15" hidden="false" customHeight="false" outlineLevel="0" collapsed="false">
      <c r="A23" s="13" t="s">
        <v>109</v>
      </c>
      <c r="B23" s="13" t="n">
        <f aca="false">COUNTIF(逐章拆解!$J$3:$J$300,A23)</f>
        <v>0</v>
      </c>
      <c r="C23" s="15" t="n">
        <f aca="false">IFERROR(B23/$B$4,0)</f>
        <v>0</v>
      </c>
    </row>
    <row r="24" customFormat="false" ht="15" hidden="false" customHeight="false" outlineLevel="0" collapsed="false">
      <c r="A24" s="13" t="s">
        <v>110</v>
      </c>
      <c r="B24" s="13" t="n">
        <f aca="false">COUNTIF(逐章拆解!$J$3:$J$300,A24)</f>
        <v>0</v>
      </c>
      <c r="C24" s="15" t="n">
        <f aca="false">IFERROR(B24/$B$4,0)</f>
        <v>0</v>
      </c>
    </row>
    <row r="25" customFormat="false" ht="15" hidden="false" customHeight="false" outlineLevel="0" collapsed="false">
      <c r="A25" s="13" t="s">
        <v>62</v>
      </c>
      <c r="B25" s="13" t="n">
        <f aca="false">COUNTIF(逐章拆解!$J$3:$J$300,A25)</f>
        <v>0</v>
      </c>
      <c r="C25" s="15" t="n">
        <f aca="false">IFERROR(B25/$B$4,0)</f>
        <v>0</v>
      </c>
    </row>
    <row r="26" customFormat="false" ht="15" hidden="false" customHeight="false" outlineLevel="0" collapsed="false">
      <c r="A26" s="13" t="s">
        <v>111</v>
      </c>
      <c r="B26" s="13" t="n">
        <f aca="false">COUNTIF(逐章拆解!$J$3:$J$300,A26)</f>
        <v>0</v>
      </c>
      <c r="C26" s="15" t="n">
        <f aca="false">IFERROR(B26/$B$4,0)</f>
        <v>0</v>
      </c>
    </row>
    <row r="27" customFormat="false" ht="15" hidden="false" customHeight="false" outlineLevel="0" collapsed="false">
      <c r="A27" s="13" t="s">
        <v>112</v>
      </c>
      <c r="B27" s="13" t="n">
        <f aca="false">COUNTIF(逐章拆解!$J$3:$J$300,A27)</f>
        <v>0</v>
      </c>
      <c r="C27" s="15" t="n">
        <f aca="false">IFERROR(B27/$B$4,0)</f>
        <v>0</v>
      </c>
    </row>
    <row r="28" customFormat="false" ht="15" hidden="false" customHeight="false" outlineLevel="0" collapsed="false">
      <c r="A28" s="13" t="s">
        <v>113</v>
      </c>
      <c r="B28" s="13" t="n">
        <f aca="false">COUNTIF(逐章拆解!$J$3:$J$300,A28)</f>
        <v>0</v>
      </c>
      <c r="C28" s="15" t="n">
        <f aca="false">IFERROR(B28/$B$4,0)</f>
        <v>0</v>
      </c>
    </row>
    <row r="29" customFormat="false" ht="15" hidden="false" customHeight="false" outlineLevel="0" collapsed="false">
      <c r="A29" s="13" t="s">
        <v>114</v>
      </c>
      <c r="B29" s="13" t="n">
        <f aca="false">COUNTIF(逐章拆解!$J$3:$J$300,A29)</f>
        <v>0</v>
      </c>
      <c r="C29" s="15" t="n">
        <f aca="false">IFERROR(B29/$B$4,0)</f>
        <v>0</v>
      </c>
    </row>
    <row r="30" customFormat="false" ht="15" hidden="false" customHeight="false" outlineLevel="0" collapsed="false">
      <c r="A30" s="13" t="s">
        <v>115</v>
      </c>
      <c r="B30" s="13" t="n">
        <f aca="false">COUNTIF(逐章拆解!$J$3:$J$300,A30)</f>
        <v>0</v>
      </c>
      <c r="C30" s="15" t="n">
        <f aca="false">IFERROR(B30/$B$4,0)</f>
        <v>0</v>
      </c>
    </row>
    <row r="31" customFormat="false" ht="15" hidden="false" customHeight="false" outlineLevel="0" collapsed="false">
      <c r="A31" s="13" t="s">
        <v>116</v>
      </c>
      <c r="B31" s="13" t="n">
        <f aca="false">COUNTIF(逐章拆解!$J$3:$J$300,A31)</f>
        <v>0</v>
      </c>
      <c r="C31" s="15" t="n">
        <f aca="false">IFERROR(B31/$B$4,0)</f>
        <v>0</v>
      </c>
    </row>
    <row r="33" customFormat="false" ht="15" hidden="false" customHeight="false" outlineLevel="0" collapsed="false">
      <c r="A33" s="12" t="s">
        <v>117</v>
      </c>
      <c r="B33" s="12"/>
      <c r="C33" s="12"/>
    </row>
    <row r="34" customFormat="false" ht="15" hidden="false" customHeight="false" outlineLevel="0" collapsed="false">
      <c r="A34" s="14" t="s">
        <v>118</v>
      </c>
      <c r="B34" s="14" t="s">
        <v>96</v>
      </c>
      <c r="C34" s="14" t="s">
        <v>97</v>
      </c>
    </row>
    <row r="35" customFormat="false" ht="15" hidden="false" customHeight="false" outlineLevel="0" collapsed="false">
      <c r="A35" s="13" t="s">
        <v>63</v>
      </c>
      <c r="B35" s="13" t="n">
        <f aca="false">COUNTIF(逐章拆解!$K$3:$K$300,A35)</f>
        <v>0</v>
      </c>
      <c r="C35" s="15" t="n">
        <f aca="false">IFERROR(B35/$B$4,0)</f>
        <v>0</v>
      </c>
    </row>
    <row r="36" customFormat="false" ht="15" hidden="false" customHeight="false" outlineLevel="0" collapsed="false">
      <c r="A36" s="13" t="s">
        <v>119</v>
      </c>
      <c r="B36" s="13" t="n">
        <f aca="false">COUNTIF(逐章拆解!$K$3:$K$300,A36)</f>
        <v>0</v>
      </c>
      <c r="C36" s="15" t="n">
        <f aca="false">IFERROR(B36/$B$4,0)</f>
        <v>0</v>
      </c>
    </row>
    <row r="37" customFormat="false" ht="15" hidden="false" customHeight="false" outlineLevel="0" collapsed="false">
      <c r="A37" s="13" t="s">
        <v>120</v>
      </c>
      <c r="B37" s="13" t="n">
        <f aca="false">COUNTIF(逐章拆解!$K$3:$K$300,A37)</f>
        <v>0</v>
      </c>
      <c r="C37" s="15" t="n">
        <f aca="false">IFERROR(B37/$B$4,0)</f>
        <v>0</v>
      </c>
    </row>
    <row r="38" customFormat="false" ht="15" hidden="false" customHeight="false" outlineLevel="0" collapsed="false">
      <c r="A38" s="13" t="s">
        <v>121</v>
      </c>
      <c r="B38" s="13" t="n">
        <f aca="false">COUNTIF(逐章拆解!$K$3:$K$300,A38)</f>
        <v>0</v>
      </c>
      <c r="C38" s="15" t="n">
        <f aca="false">IFERROR(B38/$B$4,0)</f>
        <v>0</v>
      </c>
    </row>
    <row r="39" customFormat="false" ht="15" hidden="false" customHeight="false" outlineLevel="0" collapsed="false">
      <c r="A39" s="13" t="s">
        <v>122</v>
      </c>
      <c r="B39" s="13" t="n">
        <f aca="false">COUNTIF(逐章拆解!$K$3:$K$300,A39)</f>
        <v>0</v>
      </c>
      <c r="C39" s="15" t="n">
        <f aca="false">IFERROR(B39/$B$4,0)</f>
        <v>0</v>
      </c>
    </row>
    <row r="40" customFormat="false" ht="15" hidden="false" customHeight="false" outlineLevel="0" collapsed="false">
      <c r="A40" s="13" t="s">
        <v>105</v>
      </c>
      <c r="B40" s="13" t="n">
        <f aca="false">COUNTIF(逐章拆解!$K$3:$K$300,A40)</f>
        <v>0</v>
      </c>
      <c r="C40" s="15" t="n">
        <f aca="false">IFERROR(B40/$B$4,0)</f>
        <v>0</v>
      </c>
    </row>
    <row r="42" customFormat="false" ht="15" hidden="false" customHeight="false" outlineLevel="0" collapsed="false">
      <c r="A42" s="12" t="s">
        <v>123</v>
      </c>
      <c r="B42" s="12"/>
    </row>
    <row r="43" customFormat="false" ht="15" hidden="false" customHeight="false" outlineLevel="0" collapsed="false">
      <c r="A43" s="13" t="s">
        <v>124</v>
      </c>
      <c r="B43" s="13" t="n">
        <f aca="false">COUNTIF(逐章拆解!$G$3:$G$300,"?*")</f>
        <v>0</v>
      </c>
    </row>
    <row r="44" customFormat="false" ht="15" hidden="false" customHeight="false" outlineLevel="0" collapsed="false">
      <c r="A44" s="13" t="s">
        <v>125</v>
      </c>
      <c r="B44" s="13" t="n">
        <f aca="false">COUNTIF(逐章拆解!$H$3:$H$300,"?*")</f>
        <v>0</v>
      </c>
    </row>
    <row r="45" customFormat="false" ht="15" hidden="false" customHeight="false" outlineLevel="0" collapsed="false">
      <c r="A45" s="13" t="s">
        <v>126</v>
      </c>
      <c r="B45" s="15" t="n">
        <f aca="false">IFERROR(B44/B43,0)</f>
        <v>0</v>
      </c>
    </row>
    <row r="47" customFormat="false" ht="15" hidden="false" customHeight="false" outlineLevel="0" collapsed="false">
      <c r="A47" s="7" t="s">
        <v>127</v>
      </c>
      <c r="B47" s="7"/>
      <c r="C47" s="7"/>
      <c r="D47" s="7"/>
      <c r="E47" s="7"/>
    </row>
  </sheetData>
  <mergeCells count="7">
    <mergeCell ref="A1:G1"/>
    <mergeCell ref="A3:B3"/>
    <mergeCell ref="A8:C8"/>
    <mergeCell ref="A21:C21"/>
    <mergeCell ref="A33:C33"/>
    <mergeCell ref="A42:B42"/>
    <mergeCell ref="A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2" customFormat="false" ht="17.35" hidden="false" customHeight="false" outlineLevel="0" collapsed="false">
      <c r="A2" s="4" t="s">
        <v>128</v>
      </c>
      <c r="B2" s="4"/>
    </row>
    <row r="3" customFormat="false" ht="15" hidden="false" customHeight="false" outlineLevel="0" collapsed="false">
      <c r="A3" s="7" t="s">
        <v>129</v>
      </c>
      <c r="B3" s="7"/>
    </row>
    <row r="5" customFormat="false" ht="39.75" hidden="false" customHeight="true" outlineLevel="0" collapsed="false">
      <c r="A5" s="17" t="s">
        <v>130</v>
      </c>
      <c r="B5" s="6" t="s">
        <v>131</v>
      </c>
    </row>
    <row r="6" customFormat="false" ht="39.75" hidden="false" customHeight="true" outlineLevel="0" collapsed="false">
      <c r="A6" s="17" t="s">
        <v>132</v>
      </c>
      <c r="B6" s="6" t="s">
        <v>133</v>
      </c>
    </row>
    <row r="7" customFormat="false" ht="39.75" hidden="false" customHeight="true" outlineLevel="0" collapsed="false">
      <c r="A7" s="17" t="s">
        <v>134</v>
      </c>
      <c r="B7" s="6" t="s">
        <v>135</v>
      </c>
    </row>
    <row r="8" customFormat="false" ht="39.75" hidden="false" customHeight="true" outlineLevel="0" collapsed="false">
      <c r="A8" s="17" t="s">
        <v>136</v>
      </c>
      <c r="B8" s="6" t="s">
        <v>137</v>
      </c>
    </row>
    <row r="9" customFormat="false" ht="39.75" hidden="false" customHeight="true" outlineLevel="0" collapsed="false">
      <c r="A9" s="18" t="s">
        <v>138</v>
      </c>
      <c r="B9" s="6" t="s">
        <v>139</v>
      </c>
    </row>
    <row r="10" customFormat="false" ht="39.75" hidden="false" customHeight="true" outlineLevel="0" collapsed="false">
      <c r="A10" s="17" t="s">
        <v>140</v>
      </c>
      <c r="B10" s="6" t="s">
        <v>141</v>
      </c>
    </row>
    <row r="11" customFormat="false" ht="39.75" hidden="false" customHeight="true" outlineLevel="0" collapsed="false">
      <c r="A11" s="17" t="s">
        <v>142</v>
      </c>
      <c r="B11" s="6" t="s">
        <v>143</v>
      </c>
    </row>
    <row r="12" customFormat="false" ht="39.75" hidden="false" customHeight="true" outlineLevel="0" collapsed="false">
      <c r="A12" s="17" t="s">
        <v>144</v>
      </c>
      <c r="B12" s="6" t="s">
        <v>145</v>
      </c>
    </row>
  </sheetData>
  <mergeCells count="2"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2026-08-07T03:41:02Z</dcterms:created>
  <dc:creator>openpyxl</dc:creator>
  <dc:description/>
  <dc:language>en-US</dc:language>
  <cp:lastModifiedBy/>
  <dcterms:modified xsi:type="dcterms:W3CDTF">2026-08-07T03:41:02Z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